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<sst xmlns="http://schemas.openxmlformats.org/spreadsheetml/2006/main" count="31" uniqueCount="25">
  <si>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任务名称</t>
  </si>
  <si>
    <t>截止日期</t>
  </si>
  <si>
    <t>时间</t>
  </si>
  <si>
    <t>优先级</t>
  </si>
  <si>
    <t>当前状态</t>
  </si>
  <si>
    <t>备注</t>
  </si>
  <si>
    <t>系统判断状态</t>
  </si>
  <si>
    <t>完成下周工作计划</t>
  </si>
  <si>
    <t>高</t>
  </si>
  <si>
    <t>进行中</t>
  </si>
  <si>
    <r>
      <rPr>
        <sz val="12"/>
        <color theme="1"/>
        <rFont val="宋体"/>
        <charset val="134"/>
      </rPr>
      <t>需要在周四下午</t>
    </r>
    <r>
      <rPr>
        <sz val="12"/>
        <color theme="1"/>
        <rFont val="Arial"/>
        <charset val="134"/>
      </rPr>
      <t>4.</t>
    </r>
    <r>
      <rPr>
        <sz val="12"/>
        <color theme="1"/>
        <rFont val="宋体"/>
        <charset val="134"/>
      </rPr>
      <t>前完成</t>
    </r>
  </si>
  <si>
    <t>牙医检查</t>
  </si>
  <si>
    <t>中</t>
  </si>
  <si>
    <t>未完成</t>
  </si>
  <si>
    <r>
      <rPr>
        <sz val="12"/>
        <color theme="1"/>
        <rFont val="宋体"/>
        <charset val="134"/>
      </rPr>
      <t>下午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点</t>
    </r>
  </si>
  <si>
    <t>提交健身房会员申请</t>
  </si>
  <si>
    <t>低</t>
  </si>
  <si>
    <t>已经在线提交了</t>
  </si>
  <si>
    <r>
      <rPr>
        <sz val="12"/>
        <color theme="1"/>
        <rFont val="宋体"/>
        <charset val="134"/>
      </rPr>
      <t>准备周五部门总结</t>
    </r>
    <r>
      <rPr>
        <sz val="12"/>
        <color theme="1"/>
        <rFont val="Arial"/>
        <charset val="134"/>
      </rPr>
      <t>PPT</t>
    </r>
  </si>
  <si>
    <r>
      <rPr>
        <sz val="12"/>
        <color theme="1"/>
        <rFont val="宋体"/>
        <charset val="134"/>
      </rPr>
      <t>包含本月销售数据分析，部门总结会</t>
    </r>
    <r>
      <rPr>
        <sz val="12"/>
        <color theme="1"/>
        <rFont val="Arial"/>
        <charset val="134"/>
      </rPr>
      <t>15.</t>
    </r>
    <r>
      <rPr>
        <sz val="12"/>
        <color theme="1"/>
        <rFont val="宋体"/>
        <charset val="134"/>
      </rPr>
      <t>开始</t>
    </r>
  </si>
  <si>
    <t>超市采购生活用品</t>
  </si>
  <si>
    <t>已完成</t>
  </si>
  <si>
    <t>记得买鸡蛋和牛奶</t>
  </si>
  <si>
    <t>整理书房电子发票</t>
  </si>
  <si>
    <t>报销用，不紧急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</si>
</sst>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yyyy/m/d;@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14" fontId="2" fillId="0" borderId="1" xfId="0" applyNumberFormat="1" applyFont="1" applyBorder="1" applyAlignment="1">
      <alignment horizontal="center" vertical="center" wrapText="1" readingOrder="1"/>
    </xf>
    <xf numFmtId="176" fontId="1" fillId="0" borderId="1" xfId="0" applyNumberFormat="1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vertical="center" wrapText="1"/>
    </xf>
    <xf numFmtId="177" fontId="2" fillId="0" borderId="1" xfId="0" applyNumberFormat="1" applyFont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5">
    <dxf>
      <fill>
        <patternFill patternType="solid">
          <bgColor theme="6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6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F15" sqref="F15"/>
    </sheetView>
  </sheetViews>
  <sheetFormatPr defaultColWidth="9.02654867256637" defaultRowHeight="13.5" outlineLevelRow="6" outlineLevelCol="6"/>
  <cols>
    <col min="1" max="1" width="19.716814159292" customWidth="1"/>
    <col min="2" max="2" width="36.0530973451327" customWidth="1"/>
    <col min="3" max="3" width="9.02654867256637" style="1"/>
    <col min="5" max="5" width="12.1504424778761" customWidth="1"/>
    <col min="6" max="6" width="41.4159292035398" customWidth="1"/>
    <col min="7" max="7" width="13.4867256637168" customWidth="1"/>
  </cols>
  <sheetData>
    <row r="1" ht="16.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</row>
    <row r="2" ht="16.5" spans="1:7">
      <c r="A2" s="2" t="s">
        <v>7</v>
      </c>
      <c r="B2" s="3">
        <v>46052.6666666667</v>
      </c>
      <c r="C2" s="4">
        <v>0.666666666666667</v>
      </c>
      <c r="D2" s="2" t="s">
        <v>8</v>
      </c>
      <c r="E2" s="2" t="s">
        <v>9</v>
      </c>
      <c r="F2" s="5" t="s">
        <v>10</v>
      </c>
      <c r="G2" s="6" t="str">
        <f ca="1" t="shared" ref="G2:G7" si="0">IF(E2="已完成","已完成",IF(NOW()&gt;(B2+C2),"已逾期",E2))</f>
        <v>进行中</v>
      </c>
    </row>
    <row r="3" ht="16.5" spans="1:7">
      <c r="A3" s="2" t="s">
        <v>11</v>
      </c>
      <c r="B3" s="3">
        <v>46052</v>
      </c>
      <c r="C3" s="4">
        <v>0.583333333333333</v>
      </c>
      <c r="D3" s="2" t="s">
        <v>12</v>
      </c>
      <c r="E3" s="2" t="s">
        <v>13</v>
      </c>
      <c r="F3" s="5" t="s">
        <v>14</v>
      </c>
      <c r="G3" s="6" t="str">
        <f ca="1" t="shared" si="0"/>
        <v>未完成</v>
      </c>
    </row>
    <row r="4" ht="16.5" spans="1:7">
      <c r="A4" s="2" t="s">
        <v>15</v>
      </c>
      <c r="B4" s="7">
        <v>46077</v>
      </c>
      <c r="C4" s="4"/>
      <c r="D4" s="2" t="s">
        <v>16</v>
      </c>
      <c r="E4" s="2" t="s">
        <v>9</v>
      </c>
      <c r="F4" s="2" t="s">
        <v>17</v>
      </c>
      <c r="G4" s="6" t="str">
        <f ca="1" t="shared" si="0"/>
        <v>进行中</v>
      </c>
    </row>
    <row r="5" ht="31.5" spans="1:7">
      <c r="A5" s="2" t="s">
        <v>18</v>
      </c>
      <c r="B5" s="3">
        <v>46051</v>
      </c>
      <c r="C5" s="4">
        <v>0.625</v>
      </c>
      <c r="D5" s="2" t="s">
        <v>8</v>
      </c>
      <c r="E5" s="2" t="s">
        <v>13</v>
      </c>
      <c r="F5" s="5" t="s">
        <v>19</v>
      </c>
      <c r="G5" s="6" t="str">
        <f ca="1" t="shared" si="0"/>
        <v>未完成</v>
      </c>
    </row>
    <row r="6" ht="16.5" spans="1:7">
      <c r="A6" s="2" t="s">
        <v>20</v>
      </c>
      <c r="B6" s="3">
        <v>46050</v>
      </c>
      <c r="C6" s="4">
        <v>0.770833333333333</v>
      </c>
      <c r="D6" s="2" t="s">
        <v>12</v>
      </c>
      <c r="E6" s="2" t="s">
        <v>21</v>
      </c>
      <c r="F6" s="5" t="s">
        <v>22</v>
      </c>
      <c r="G6" s="6" t="str">
        <f ca="1" t="shared" si="0"/>
        <v>已完成</v>
      </c>
    </row>
    <row r="7" ht="16.5" spans="1:7">
      <c r="A7" s="2" t="s">
        <v>23</v>
      </c>
      <c r="B7" s="3">
        <v>46052</v>
      </c>
      <c r="C7" s="4"/>
      <c r="D7" s="2" t="s">
        <v>16</v>
      </c>
      <c r="E7" s="2" t="s">
        <v>9</v>
      </c>
      <c r="F7" s="2" t="s">
        <v>24</v>
      </c>
      <c r="G7" s="6" t="str">
        <f ca="1" t="shared" si="0"/>
        <v>进行中</v>
      </c>
    </row>
  </sheetData>
  <conditionalFormatting sqref="E2">
    <cfRule type="cellIs" dxfId="0" priority="9" operator="equal">
      <formula>"进行中"</formula>
    </cfRule>
    <cfRule type="expression" dxfId="1" priority="7">
      <formula>$E2="已完成"</formula>
    </cfRule>
  </conditionalFormatting>
  <conditionalFormatting sqref="E4">
    <cfRule type="cellIs" dxfId="2" priority="10" operator="equal">
      <formula>"已完成"</formula>
    </cfRule>
  </conditionalFormatting>
  <conditionalFormatting sqref="E$1:E$1048576">
    <cfRule type="cellIs" dxfId="3" priority="13" operator="equal">
      <formula>"未完成"</formula>
    </cfRule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  <cfRule type="cellIs" dxfId="4" priority="11" operator="equal">
      <formula>"未开始"</formula>
    </cfRule>
  </conditionalFormatting>
  <conditionalFormatting sqref="E2:E1048576">
    <cfRule type="expression" dxfId="1" priority="8" stopIfTrue="1">
      <formula>$E2="已完成"</formula>
    </cfRule>
    <cfRule type="expression" dxfId="5" priority="6">
      <formula>$E2="进行中"</formula>
    </cfRule>
    <cfRule type="expression" dxfId="6" priority="5">
      <formula>$E2="进行中"</formula>
    </cfRule>
    <cfRule type="expression" dxfId="5" priority="3">
      <formula>$E2="未完成"</formula>
    </cfRule>
    <cfRule type="expression" dxfId="7" priority="2">
      <formula>$E2="已逾期"</formula>
    </cfRule>
  </conditionalFormatting>
  <conditionalFormatting sqref="G2:G1048576">
    <cfRule type="expression" dxfId="7" priority="1">
      <formula>$G2="已逾期"</formula>
    </cfRule>
  </conditionalFormatting>
  <dataValidations count="1">
    <dataValidation type="list" allowBlank="1" showInputMessage="1" showErrorMessage="1" sqref="E2:E1048576">
      <formula1>"已完成,未完成,进行中,已逾期"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LJJJ1</dc:creator>
  <cp:lastModifiedBy>李佳</cp:lastModifiedBy>
  <dcterms:created xsi:type="dcterms:W3CDTF">2026-01-22T07:15:00Z</dcterms:created>
  <dcterms:modified xsi:type="dcterms:W3CDTF">2026-01-28T07:11:01Z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6145142BF98540E0A5EFACA3D7E2BE49_13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